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s\OneDrive\Documentos\SOFTWARE ACTUARIAL\Actividades Bloque I\"/>
    </mc:Choice>
  </mc:AlternateContent>
  <xr:revisionPtr revIDLastSave="8611" documentId="114_{31C86FC7-FD54-4F56-9773-3ED60A59A0F7}" xr6:coauthVersionLast="36" xr6:coauthVersionMax="41" xr10:uidLastSave="{9105AD83-66C3-4571-8EB4-0437A7FC5FDE}"/>
  <bookViews>
    <workbookView xWindow="-120" yWindow="-120" windowWidth="20730" windowHeight="11160" tabRatio="942" xr2:uid="{9F74C721-0CA8-4F36-902F-56FBA70974FF}"/>
  </bookViews>
  <sheets>
    <sheet name="Hoja22" sheetId="244" r:id="rId1"/>
    <sheet name="Hoja2" sheetId="27" state="hidden" r:id="rId2"/>
    <sheet name="Hoja8" sheetId="33" state="hidden" r:id="rId3"/>
    <sheet name="Hoja9" sheetId="34" state="hidden" r:id="rId4"/>
    <sheet name="Hoja1" sheetId="1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1" i="1" l="1"/>
  <c r="D11" i="1"/>
  <c r="E11" i="1"/>
  <c r="F11" i="1"/>
  <c r="G11" i="1"/>
  <c r="H11" i="1"/>
  <c r="I11" i="1"/>
  <c r="J11" i="1"/>
  <c r="K11" i="1"/>
  <c r="B11" i="1"/>
  <c r="D10" i="1"/>
  <c r="E10" i="1" s="1"/>
  <c r="F10" i="1" s="1"/>
  <c r="G10" i="1" s="1"/>
  <c r="H10" i="1" s="1"/>
  <c r="I10" i="1" s="1"/>
  <c r="J10" i="1" s="1"/>
  <c r="K10" i="1" s="1"/>
  <c r="C10" i="1"/>
  <c r="B13" i="1" l="1"/>
</calcChain>
</file>

<file path=xl/sharedStrings.xml><?xml version="1.0" encoding="utf-8"?>
<sst xmlns="http://schemas.openxmlformats.org/spreadsheetml/2006/main" count="57" uniqueCount="27">
  <si>
    <t>Datos de Entrada</t>
  </si>
  <si>
    <t>2 flujo de entrada al final del año 1</t>
  </si>
  <si>
    <t>3 tasa de incrementodel flujo de entrada al año</t>
  </si>
  <si>
    <t>4 numeros de años de flujos de entrada</t>
  </si>
  <si>
    <t>5 tasa de descuento</t>
  </si>
  <si>
    <t>Calculo del valor presente neto de una serie de flujos</t>
  </si>
  <si>
    <t>1 flujo de salida al inicio del año 1 (inversion inicial)</t>
  </si>
  <si>
    <t>Modelos de flujos</t>
  </si>
  <si>
    <t>Año</t>
  </si>
  <si>
    <t>Flujo de efectivo</t>
  </si>
  <si>
    <t>Factor de descuento</t>
  </si>
  <si>
    <t>valor presnete neto</t>
  </si>
  <si>
    <t>Datos de entrada</t>
  </si>
  <si>
    <t>1.Flujo de salida al inicio del año 1 (inversión inicial)</t>
  </si>
  <si>
    <t>2.Flujo de entrada al final del año 1</t>
  </si>
  <si>
    <t>3.Tasa de incrementodel flujo de entrada al año</t>
  </si>
  <si>
    <t>4.Números de años de flujos de entrada</t>
  </si>
  <si>
    <t>5.Tasa de descuento</t>
  </si>
  <si>
    <t>Valor presente neto</t>
  </si>
  <si>
    <t>Periodo</t>
  </si>
  <si>
    <t>Pago</t>
  </si>
  <si>
    <t>Intereses</t>
  </si>
  <si>
    <t>Abono a capital</t>
  </si>
  <si>
    <t>Saldo Insoluto</t>
  </si>
  <si>
    <t>Deuda</t>
  </si>
  <si>
    <t>Tasa de Interés</t>
  </si>
  <si>
    <t>Número de pagos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</si>
</sst>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0" fontId="0" fillId="2" borderId="0" xfId="0" applyFill="1"/>
    <xf numFmtId="0" fontId="2" fillId="2" borderId="0" xfId="0" applyFont="1" applyFill="1"/>
    <xf numFmtId="9" fontId="2" fillId="2" borderId="0" xfId="0" applyNumberFormat="1" applyFont="1" applyFill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44" fontId="0" fillId="0" borderId="0" xfId="0" applyNumberFormat="1"/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44" fontId="0" fillId="2" borderId="0" xfId="1" applyFont="1" applyFill="1"/>
    <xf numFmtId="9" fontId="0" fillId="2" borderId="0" xfId="2" applyFont="1" applyFill="1"/>
    <xf numFmtId="44" fontId="0" fillId="0" borderId="0" xfId="1" applyFont="1"/>
    <xf numFmtId="0" fontId="2" fillId="0" borderId="0" xfId="0" applyFont="1" applyAlignment="1">
      <alignment horizontal="center" vertical="center"/>
    </xf>
    <xf numFmtId="44" fontId="2" fillId="0" borderId="0" xfId="1" applyFont="1" applyAlignment="1">
      <alignment horizontal="center" vertic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BBAD9-0C60-4AD6-BC09-4CF6B6B3223B}">
  <sheetPr codeName="Hoja36"/>
  <dimension ref="A1:Z100"/>
  <sheetViews>
    <sheetView tabSelected="1" workbookViewId="0">
      <selection activeCell="B16" sqref="B16"/>
    </sheetView>
  </sheetViews>
  <sheetFormatPr baseColWidth="10" defaultRowHeight="15" x14ac:dyDescent="0.25"/>
  <cols>
    <col min="1" max="1" width="16.7109375" style="8" bestFit="1" customWidth="1"/>
    <col min="2" max="2" width="6" style="8" bestFit="1" customWidth="1"/>
    <col min="3" max="3" width="11.42578125" style="8"/>
    <col min="4" max="4" width="8" style="8" bestFit="1" customWidth="1"/>
    <col min="5" max="5" width="10.5703125" style="8" bestFit="1" customWidth="1"/>
    <col min="6" max="6" width="10.7109375" style="8" bestFit="1" customWidth="1"/>
    <col min="7" max="7" width="16.140625" style="8" bestFit="1" customWidth="1"/>
    <col min="8" max="8" width="15" style="8" bestFit="1" customWidth="1"/>
    <col min="9" max="16384" width="11.42578125" style="8"/>
  </cols>
  <sheetData>
    <row r="1" spans="1:26" x14ac:dyDescent="0.25">
      <c r="A1" s="13" t="s">
        <v>24</v>
      </c>
      <c r="B1" s="8">
        <v>25000</v>
      </c>
      <c r="D1" s="13" t="s">
        <v>19</v>
      </c>
      <c r="E1" s="14" t="s">
        <v>20</v>
      </c>
      <c r="F1" s="14" t="s">
        <v>21</v>
      </c>
      <c r="G1" s="14" t="s">
        <v>22</v>
      </c>
      <c r="H1" s="14" t="s">
        <v>23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25">
      <c r="A2" s="13" t="s">
        <v>20</v>
      </c>
      <c r="B2" s="8">
        <v>3000</v>
      </c>
      <c r="D2" s="8">
        <v>0</v>
      </c>
      <c r="E2" s="9"/>
      <c r="F2" s="9"/>
      <c r="G2" s="9"/>
      <c r="H2" s="9">
        <v>25000</v>
      </c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x14ac:dyDescent="0.25">
      <c r="A3" s="13" t="s">
        <v>25</v>
      </c>
      <c r="B3" s="8">
        <v>0.02</v>
      </c>
      <c r="D3" s="8">
        <v>1</v>
      </c>
      <c r="E3" s="9">
        <v>3000</v>
      </c>
      <c r="F3" s="9">
        <v>500</v>
      </c>
      <c r="G3" s="9">
        <v>2500</v>
      </c>
      <c r="H3" s="9">
        <v>22500</v>
      </c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x14ac:dyDescent="0.25">
      <c r="A4" s="13" t="s">
        <v>26</v>
      </c>
      <c r="B4" s="8">
        <v>10</v>
      </c>
      <c r="D4" s="8">
        <v>2</v>
      </c>
      <c r="E4" s="9">
        <v>3000</v>
      </c>
      <c r="F4" s="9">
        <v>450</v>
      </c>
      <c r="G4" s="9">
        <v>2550</v>
      </c>
      <c r="H4" s="9">
        <v>19950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x14ac:dyDescent="0.25">
      <c r="D5" s="8">
        <v>3</v>
      </c>
      <c r="E5" s="9">
        <v>3000</v>
      </c>
      <c r="F5" s="9">
        <v>399</v>
      </c>
      <c r="G5" s="9">
        <v>2601</v>
      </c>
      <c r="H5" s="9">
        <v>17349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25">
      <c r="D6" s="8">
        <v>4</v>
      </c>
      <c r="E6" s="9">
        <v>3000</v>
      </c>
      <c r="F6" s="9">
        <v>346.98</v>
      </c>
      <c r="G6" s="9">
        <v>2653.02</v>
      </c>
      <c r="H6" s="9">
        <v>14695.98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25">
      <c r="D7" s="8">
        <v>5</v>
      </c>
      <c r="E7" s="9">
        <v>3000</v>
      </c>
      <c r="F7" s="9">
        <v>293.9196</v>
      </c>
      <c r="G7" s="9">
        <v>2706.08</v>
      </c>
      <c r="H7" s="9">
        <v>11989.9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25">
      <c r="D8" s="8">
        <v>6</v>
      </c>
      <c r="E8" s="9">
        <v>3000</v>
      </c>
      <c r="F8" s="9">
        <v>239.798</v>
      </c>
      <c r="G8" s="9">
        <v>2760.2</v>
      </c>
      <c r="H8" s="9">
        <v>9229.7000000000007</v>
      </c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25">
      <c r="D9" s="8">
        <v>7</v>
      </c>
      <c r="E9" s="9">
        <v>3000</v>
      </c>
      <c r="F9" s="9">
        <v>184.59400000000002</v>
      </c>
      <c r="G9" s="9">
        <v>2815.41</v>
      </c>
      <c r="H9" s="9">
        <v>6414.29</v>
      </c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25">
      <c r="D10" s="8">
        <v>8</v>
      </c>
      <c r="E10" s="9">
        <v>3000</v>
      </c>
      <c r="F10" s="9">
        <v>128.28579999999999</v>
      </c>
      <c r="G10" s="9">
        <v>2871.71</v>
      </c>
      <c r="H10" s="9">
        <v>3542.58</v>
      </c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25">
      <c r="D11" s="8">
        <v>9</v>
      </c>
      <c r="E11" s="9">
        <v>3000</v>
      </c>
      <c r="F11" s="9">
        <v>70.851600000000005</v>
      </c>
      <c r="G11" s="9">
        <v>2929.15</v>
      </c>
      <c r="H11" s="9">
        <v>613.42999999999995</v>
      </c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25">
      <c r="D12" s="8">
        <v>10</v>
      </c>
      <c r="E12" s="9">
        <v>625.70000000000005</v>
      </c>
      <c r="F12" s="9">
        <v>12.268599999999999</v>
      </c>
      <c r="G12" s="9">
        <v>613.42999999999995</v>
      </c>
      <c r="H12" s="9">
        <v>0</v>
      </c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25"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x14ac:dyDescent="0.25"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x14ac:dyDescent="0.25"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x14ac:dyDescent="0.25"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5:26" x14ac:dyDescent="0.25"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5:26" x14ac:dyDescent="0.25"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5:26" x14ac:dyDescent="0.25"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5:26" x14ac:dyDescent="0.25"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5:26" x14ac:dyDescent="0.25"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5:26" x14ac:dyDescent="0.25"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5:26" x14ac:dyDescent="0.25"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5:26" x14ac:dyDescent="0.25"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5:26" x14ac:dyDescent="0.25"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5:26" x14ac:dyDescent="0.25"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5:26" x14ac:dyDescent="0.25"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5:26" x14ac:dyDescent="0.25"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5:26" x14ac:dyDescent="0.25"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5:26" x14ac:dyDescent="0.25"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5:26" x14ac:dyDescent="0.25"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5:26" x14ac:dyDescent="0.25"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5:26" x14ac:dyDescent="0.25"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5:26" x14ac:dyDescent="0.25"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5:26" x14ac:dyDescent="0.25"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5:26" x14ac:dyDescent="0.25"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5:26" x14ac:dyDescent="0.25"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5:26" x14ac:dyDescent="0.25"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5:26" x14ac:dyDescent="0.25"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5:26" x14ac:dyDescent="0.25"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5:26" x14ac:dyDescent="0.25"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5:26" x14ac:dyDescent="0.25"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5:26" x14ac:dyDescent="0.25"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5:26" x14ac:dyDescent="0.25"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5:26" x14ac:dyDescent="0.25"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5:26" x14ac:dyDescent="0.25"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5:26" x14ac:dyDescent="0.25"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5:26" x14ac:dyDescent="0.25"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5:26" x14ac:dyDescent="0.25"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5:26" x14ac:dyDescent="0.25"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5:26" x14ac:dyDescent="0.25"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5:26" x14ac:dyDescent="0.25"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5:26" x14ac:dyDescent="0.25"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5:26" x14ac:dyDescent="0.25"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5:26" x14ac:dyDescent="0.25"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5:26" x14ac:dyDescent="0.25"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5:26" x14ac:dyDescent="0.25"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5:26" x14ac:dyDescent="0.25"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5:26" x14ac:dyDescent="0.25"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5:26" x14ac:dyDescent="0.25"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5:26" x14ac:dyDescent="0.25"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5:26" x14ac:dyDescent="0.25"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5:26" x14ac:dyDescent="0.25"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5:26" x14ac:dyDescent="0.25"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5:26" x14ac:dyDescent="0.25"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5:26" x14ac:dyDescent="0.25"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5:26" x14ac:dyDescent="0.25"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5:26" x14ac:dyDescent="0.25"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5:26" x14ac:dyDescent="0.25"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5:26" x14ac:dyDescent="0.25"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5:26" x14ac:dyDescent="0.25"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5:26" x14ac:dyDescent="0.25"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5:26" x14ac:dyDescent="0.25"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5:26" x14ac:dyDescent="0.25"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5:26" x14ac:dyDescent="0.25"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5:26" x14ac:dyDescent="0.25"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5:26" x14ac:dyDescent="0.25"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5:26" x14ac:dyDescent="0.25"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5:26" x14ac:dyDescent="0.25"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5:26" x14ac:dyDescent="0.25"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5:26" x14ac:dyDescent="0.25"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5:26" x14ac:dyDescent="0.25"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5:26" x14ac:dyDescent="0.25"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5:26" x14ac:dyDescent="0.25"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5:26" x14ac:dyDescent="0.25"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5:26" x14ac:dyDescent="0.25"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5:26" x14ac:dyDescent="0.25"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5:26" x14ac:dyDescent="0.25"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5:26" x14ac:dyDescent="0.25"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5:26" x14ac:dyDescent="0.25"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5:26" x14ac:dyDescent="0.25"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5:26" x14ac:dyDescent="0.25"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5:26" x14ac:dyDescent="0.25"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5:26" x14ac:dyDescent="0.25"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5:26" x14ac:dyDescent="0.25"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5:26" x14ac:dyDescent="0.25"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5:26" x14ac:dyDescent="0.25"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5:26" x14ac:dyDescent="0.25"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5:26" x14ac:dyDescent="0.25"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5:26" x14ac:dyDescent="0.25"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41B87-D861-49D2-AF86-893D6A296C01}">
  <sheetPr codeName="Hoja2"/>
  <dimension ref="A1:K13"/>
  <sheetViews>
    <sheetView workbookViewId="0">
      <selection activeCell="B13" sqref="B13"/>
    </sheetView>
  </sheetViews>
  <sheetFormatPr baseColWidth="10" defaultRowHeight="15" x14ac:dyDescent="0.25"/>
  <cols>
    <col min="1" max="1" width="47.85546875" bestFit="1" customWidth="1"/>
  </cols>
  <sheetData>
    <row r="1" spans="1:11" x14ac:dyDescent="0.25">
      <c r="A1" s="1" t="s">
        <v>12</v>
      </c>
      <c r="D1" s="1" t="s">
        <v>5</v>
      </c>
    </row>
    <row r="2" spans="1:11" x14ac:dyDescent="0.25">
      <c r="A2" t="s">
        <v>13</v>
      </c>
      <c r="B2" s="10">
        <v>40000</v>
      </c>
    </row>
    <row r="3" spans="1:11" x14ac:dyDescent="0.25">
      <c r="A3" t="s">
        <v>14</v>
      </c>
      <c r="B3" s="10">
        <v>12000</v>
      </c>
    </row>
    <row r="4" spans="1:11" x14ac:dyDescent="0.25">
      <c r="A4" t="s">
        <v>15</v>
      </c>
      <c r="B4" s="11">
        <v>0.12</v>
      </c>
    </row>
    <row r="5" spans="1:11" x14ac:dyDescent="0.25">
      <c r="A5" t="s">
        <v>16</v>
      </c>
      <c r="B5" s="2">
        <v>10</v>
      </c>
    </row>
    <row r="6" spans="1:11" x14ac:dyDescent="0.25">
      <c r="A6" t="s">
        <v>17</v>
      </c>
      <c r="B6" s="11">
        <v>0.15999999642372131</v>
      </c>
    </row>
    <row r="8" spans="1:11" x14ac:dyDescent="0.25">
      <c r="A8" t="s">
        <v>7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12">
        <v>12000</v>
      </c>
      <c r="C10" s="12">
        <v>13440.000000000002</v>
      </c>
      <c r="D10" s="12">
        <v>15052.800000000003</v>
      </c>
      <c r="E10" s="12">
        <v>16859.136000000006</v>
      </c>
      <c r="F10" s="12">
        <v>18882.232320000006</v>
      </c>
      <c r="G10" s="12">
        <v>21148.10019840001</v>
      </c>
      <c r="H10" s="12">
        <v>23685.872222208014</v>
      </c>
      <c r="I10" s="12">
        <v>26528.176888872978</v>
      </c>
      <c r="J10" s="12">
        <v>29711.558115537737</v>
      </c>
      <c r="K10" s="12">
        <v>33276.945089402267</v>
      </c>
    </row>
    <row r="11" spans="1:11" x14ac:dyDescent="0.25">
      <c r="A11" t="s">
        <v>10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E74DB-D401-47E9-BF7D-E9E4A4095077}">
  <sheetPr codeName="Hoja8"/>
  <dimension ref="A1:K13"/>
  <sheetViews>
    <sheetView workbookViewId="0">
      <selection activeCell="B13" sqref="B13"/>
    </sheetView>
  </sheetViews>
  <sheetFormatPr baseColWidth="10" defaultRowHeight="15" x14ac:dyDescent="0.25"/>
  <cols>
    <col min="1" max="1" width="47.85546875" bestFit="1" customWidth="1"/>
  </cols>
  <sheetData>
    <row r="1" spans="1:11" x14ac:dyDescent="0.25">
      <c r="A1" s="1" t="s">
        <v>12</v>
      </c>
      <c r="D1" s="1" t="s">
        <v>5</v>
      </c>
    </row>
    <row r="2" spans="1:11" x14ac:dyDescent="0.25">
      <c r="A2" t="s">
        <v>13</v>
      </c>
      <c r="B2" s="10">
        <v>40000</v>
      </c>
    </row>
    <row r="3" spans="1:11" x14ac:dyDescent="0.25">
      <c r="A3" t="s">
        <v>14</v>
      </c>
      <c r="B3" s="10">
        <v>12000</v>
      </c>
    </row>
    <row r="4" spans="1:11" x14ac:dyDescent="0.25">
      <c r="A4" t="s">
        <v>15</v>
      </c>
      <c r="B4" s="11">
        <v>0.12</v>
      </c>
    </row>
    <row r="5" spans="1:11" x14ac:dyDescent="0.25">
      <c r="A5" t="s">
        <v>16</v>
      </c>
      <c r="B5" s="2">
        <v>10</v>
      </c>
    </row>
    <row r="6" spans="1:11" x14ac:dyDescent="0.25">
      <c r="A6" t="s">
        <v>17</v>
      </c>
      <c r="B6" s="11">
        <v>0.15999999642372131</v>
      </c>
    </row>
    <row r="8" spans="1:11" x14ac:dyDescent="0.25">
      <c r="A8" t="s">
        <v>7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12">
        <v>12000</v>
      </c>
      <c r="C10" s="12">
        <v>13440.000000000002</v>
      </c>
      <c r="D10" s="12">
        <v>15052.800000000003</v>
      </c>
      <c r="E10" s="12">
        <v>16859.136000000006</v>
      </c>
      <c r="F10" s="12">
        <v>18882.232320000006</v>
      </c>
      <c r="G10" s="12">
        <v>21148.10019840001</v>
      </c>
      <c r="H10" s="12">
        <v>23685.872222208014</v>
      </c>
      <c r="I10" s="12">
        <v>26528.176888872978</v>
      </c>
      <c r="J10" s="12">
        <v>29711.558115537737</v>
      </c>
      <c r="K10" s="12">
        <v>33276.945089402267</v>
      </c>
    </row>
    <row r="11" spans="1:11" x14ac:dyDescent="0.25">
      <c r="A11" t="s">
        <v>10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24BF0-F1D7-4BE6-9FDA-18B149D26227}">
  <sheetPr codeName="Hoja9"/>
  <dimension ref="A1:K13"/>
  <sheetViews>
    <sheetView workbookViewId="0">
      <selection activeCell="B13" sqref="B13"/>
    </sheetView>
  </sheetViews>
  <sheetFormatPr baseColWidth="10" defaultRowHeight="15" x14ac:dyDescent="0.25"/>
  <cols>
    <col min="1" max="1" width="47.85546875" bestFit="1" customWidth="1"/>
  </cols>
  <sheetData>
    <row r="1" spans="1:11" x14ac:dyDescent="0.25">
      <c r="A1" s="1" t="s">
        <v>12</v>
      </c>
      <c r="D1" s="1" t="s">
        <v>5</v>
      </c>
    </row>
    <row r="2" spans="1:11" x14ac:dyDescent="0.25">
      <c r="A2" t="s">
        <v>13</v>
      </c>
      <c r="B2" s="10">
        <v>40000</v>
      </c>
    </row>
    <row r="3" spans="1:11" x14ac:dyDescent="0.25">
      <c r="A3" t="s">
        <v>14</v>
      </c>
      <c r="B3" s="10">
        <v>12000</v>
      </c>
    </row>
    <row r="4" spans="1:11" x14ac:dyDescent="0.25">
      <c r="A4" t="s">
        <v>15</v>
      </c>
      <c r="B4" s="11">
        <v>0.12</v>
      </c>
    </row>
    <row r="5" spans="1:11" x14ac:dyDescent="0.25">
      <c r="A5" t="s">
        <v>16</v>
      </c>
      <c r="B5" s="2">
        <v>10</v>
      </c>
    </row>
    <row r="6" spans="1:11" x14ac:dyDescent="0.25">
      <c r="A6" t="s">
        <v>17</v>
      </c>
      <c r="B6" s="11">
        <v>0.15999999642372131</v>
      </c>
    </row>
    <row r="8" spans="1:11" x14ac:dyDescent="0.25">
      <c r="A8" t="s">
        <v>7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12">
        <v>12000</v>
      </c>
      <c r="C10" s="12">
        <v>13440.000000000002</v>
      </c>
      <c r="D10" s="12">
        <v>15052.800000000003</v>
      </c>
      <c r="E10" s="12">
        <v>16859.136000000006</v>
      </c>
      <c r="F10" s="12">
        <v>18882.232320000006</v>
      </c>
      <c r="G10" s="12">
        <v>21148.10019840001</v>
      </c>
      <c r="H10" s="12">
        <v>23685.872222208014</v>
      </c>
      <c r="I10" s="12">
        <v>26528.176888872978</v>
      </c>
      <c r="J10" s="12">
        <v>29711.558115537737</v>
      </c>
      <c r="K10" s="12">
        <v>33276.945089402267</v>
      </c>
    </row>
    <row r="11" spans="1:11" x14ac:dyDescent="0.25">
      <c r="A11" t="s">
        <v>10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86639-D4D8-43E2-BD22-39029B5F5E63}">
  <sheetPr codeName="Hoja1"/>
  <dimension ref="A1:M13"/>
  <sheetViews>
    <sheetView workbookViewId="0">
      <selection activeCell="B13" sqref="B13"/>
    </sheetView>
  </sheetViews>
  <sheetFormatPr baseColWidth="10" defaultRowHeight="15" x14ac:dyDescent="0.25"/>
  <cols>
    <col min="1" max="1" width="47.42578125" bestFit="1" customWidth="1"/>
    <col min="3" max="3" width="12.85546875" customWidth="1"/>
  </cols>
  <sheetData>
    <row r="1" spans="1:13" x14ac:dyDescent="0.25">
      <c r="A1" s="1" t="s">
        <v>0</v>
      </c>
      <c r="D1" s="1" t="s">
        <v>5</v>
      </c>
    </row>
    <row r="2" spans="1:13" x14ac:dyDescent="0.25">
      <c r="A2" t="s">
        <v>6</v>
      </c>
      <c r="B2" s="3">
        <v>40000</v>
      </c>
      <c r="C2" s="1"/>
    </row>
    <row r="3" spans="1:13" x14ac:dyDescent="0.25">
      <c r="A3" t="s">
        <v>1</v>
      </c>
      <c r="B3" s="3">
        <v>12000</v>
      </c>
      <c r="C3" s="1"/>
    </row>
    <row r="4" spans="1:13" x14ac:dyDescent="0.25">
      <c r="A4" t="s">
        <v>2</v>
      </c>
      <c r="B4" s="4">
        <v>0.12</v>
      </c>
      <c r="C4" s="1"/>
    </row>
    <row r="5" spans="1:13" x14ac:dyDescent="0.25">
      <c r="A5" t="s">
        <v>3</v>
      </c>
      <c r="B5" s="4">
        <v>0.1</v>
      </c>
      <c r="C5" s="1"/>
    </row>
    <row r="6" spans="1:13" x14ac:dyDescent="0.25">
      <c r="A6" t="s">
        <v>4</v>
      </c>
      <c r="B6" s="4">
        <v>0.16</v>
      </c>
      <c r="C6" s="1"/>
    </row>
    <row r="7" spans="1:13" x14ac:dyDescent="0.25">
      <c r="B7" s="5"/>
      <c r="C7" s="5"/>
      <c r="D7" s="6"/>
      <c r="E7" s="6"/>
      <c r="F7" s="6"/>
      <c r="G7" s="6"/>
      <c r="H7" s="6"/>
      <c r="I7" s="6"/>
      <c r="J7" s="6"/>
      <c r="K7" s="6"/>
    </row>
    <row r="8" spans="1:13" x14ac:dyDescent="0.25">
      <c r="A8" t="s">
        <v>7</v>
      </c>
    </row>
    <row r="9" spans="1:13" x14ac:dyDescent="0.25">
      <c r="A9" t="s">
        <v>8</v>
      </c>
      <c r="B9" s="8">
        <v>1</v>
      </c>
      <c r="C9" s="8">
        <v>2</v>
      </c>
      <c r="D9" s="8">
        <v>3</v>
      </c>
      <c r="E9" s="8">
        <v>4</v>
      </c>
      <c r="F9" s="8">
        <v>5</v>
      </c>
      <c r="G9" s="8">
        <v>6</v>
      </c>
      <c r="H9" s="8">
        <v>7</v>
      </c>
      <c r="I9" s="8">
        <v>8</v>
      </c>
      <c r="J9" s="8">
        <v>9</v>
      </c>
      <c r="K9" s="8">
        <v>10</v>
      </c>
    </row>
    <row r="10" spans="1:13" x14ac:dyDescent="0.25">
      <c r="A10" t="s">
        <v>9</v>
      </c>
      <c r="B10" s="9">
        <v>12000</v>
      </c>
      <c r="C10" s="9">
        <f>B10*(1+$B$4)</f>
        <v>13440.000000000002</v>
      </c>
      <c r="D10" s="9">
        <f>C10*(1+$B$4)</f>
        <v>15052.800000000003</v>
      </c>
      <c r="E10" s="9">
        <f t="shared" ref="E10:K10" si="0">D10*(1+$B$4)</f>
        <v>16859.136000000006</v>
      </c>
      <c r="F10" s="9">
        <f t="shared" si="0"/>
        <v>18882.23232000001</v>
      </c>
      <c r="G10" s="9">
        <f t="shared" si="0"/>
        <v>21148.100198400014</v>
      </c>
      <c r="H10" s="9">
        <f t="shared" si="0"/>
        <v>23685.872222208018</v>
      </c>
      <c r="I10" s="9">
        <f t="shared" si="0"/>
        <v>26528.176888872982</v>
      </c>
      <c r="J10" s="9">
        <f t="shared" si="0"/>
        <v>29711.558115537744</v>
      </c>
      <c r="K10" s="9">
        <f t="shared" si="0"/>
        <v>33276.945089402274</v>
      </c>
    </row>
    <row r="11" spans="1:13" x14ac:dyDescent="0.25">
      <c r="A11" t="s">
        <v>10</v>
      </c>
      <c r="B11" s="8">
        <f>1/(1+B9*$B$6)</f>
        <v>0.86206896551724144</v>
      </c>
      <c r="C11" s="8">
        <f t="shared" ref="C11:K11" si="1">1/(1+C9*$B$6)</f>
        <v>0.75757575757575757</v>
      </c>
      <c r="D11" s="8">
        <f t="shared" si="1"/>
        <v>0.67567567567567566</v>
      </c>
      <c r="E11" s="8">
        <f t="shared" si="1"/>
        <v>0.6097560975609756</v>
      </c>
      <c r="F11" s="8">
        <f t="shared" si="1"/>
        <v>0.55555555555555558</v>
      </c>
      <c r="G11" s="8">
        <f t="shared" si="1"/>
        <v>0.51020408163265307</v>
      </c>
      <c r="H11" s="8">
        <f t="shared" si="1"/>
        <v>0.47169811320754712</v>
      </c>
      <c r="I11" s="8">
        <f t="shared" si="1"/>
        <v>0.43859649122807015</v>
      </c>
      <c r="J11" s="8">
        <f t="shared" si="1"/>
        <v>0.4098360655737705</v>
      </c>
      <c r="K11" s="8">
        <f t="shared" si="1"/>
        <v>0.38461538461538458</v>
      </c>
    </row>
    <row r="13" spans="1:13" x14ac:dyDescent="0.25">
      <c r="A13" t="s">
        <v>11</v>
      </c>
      <c r="B13" s="7">
        <f>-B2+B10*B11+C10*C11+D10*D11+E10*E11+F10*F11+G10*G11+H10*H11+I10*I11+J10*J11+K10*K11</f>
        <v>70040.833314664094</v>
      </c>
      <c r="F13" s="6"/>
      <c r="G13" s="6"/>
      <c r="H13" s="6"/>
      <c r="I13" s="6"/>
      <c r="J13" s="6"/>
      <c r="K13" s="6"/>
      <c r="L13" s="6"/>
      <c r="M13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Hoja22</vt:lpstr>
      <vt:lpstr>Hoja2</vt:lpstr>
      <vt:lpstr>Hoja8</vt:lpstr>
      <vt:lpstr>Hoja9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Marisol Esteva</dc:creator>
  <cp:lastModifiedBy>Ing. Marisol Esteva</cp:lastModifiedBy>
  <dcterms:created xsi:type="dcterms:W3CDTF">2019-02-14T00:24:32Z</dcterms:created>
  <dcterms:modified xsi:type="dcterms:W3CDTF">2019-03-13T18:25:07Z</dcterms:modified>
</cp:coreProperties>
</file>